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4190"/>
  </bookViews>
  <sheets>
    <sheet name="HKE-3" sheetId="1" r:id="rId1"/>
  </sheets>
  <calcPr calcId="152511"/>
</workbook>
</file>

<file path=xl/calcChain.xml><?xml version="1.0" encoding="utf-8"?>
<calcChain xmlns="http://schemas.openxmlformats.org/spreadsheetml/2006/main">
  <c r="H14" i="1" l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</calcChain>
</file>

<file path=xl/sharedStrings.xml><?xml version="1.0" encoding="utf-8"?>
<sst xmlns="http://schemas.openxmlformats.org/spreadsheetml/2006/main" count="356" uniqueCount="88">
  <si>
    <t>Experiment Name</t>
  </si>
  <si>
    <t>Analysis Name</t>
  </si>
  <si>
    <t>Included</t>
  </si>
  <si>
    <t>Position</t>
  </si>
  <si>
    <t>SampleName</t>
  </si>
  <si>
    <t>Concentration</t>
  </si>
  <si>
    <t>Standard</t>
  </si>
  <si>
    <t>StatusCodes</t>
  </si>
  <si>
    <t>StatusDesc</t>
  </si>
  <si>
    <t>Call</t>
  </si>
  <si>
    <t>CpUncertain</t>
  </si>
  <si>
    <t>CpState</t>
  </si>
  <si>
    <t>CalcConcUncertain</t>
  </si>
  <si>
    <t>20211022_3_HKE</t>
  </si>
  <si>
    <t>Abs Quant/Fit Points for All Samples</t>
  </si>
  <si>
    <t>A1</t>
  </si>
  <si>
    <t>Sample 1</t>
  </si>
  <si>
    <t xml:space="preserve"> </t>
  </si>
  <si>
    <t>pdcNegative</t>
  </si>
  <si>
    <t>cpsNormal</t>
  </si>
  <si>
    <t>A2</t>
  </si>
  <si>
    <t>Sample 2</t>
  </si>
  <si>
    <t>pdcNotCalculated</t>
  </si>
  <si>
    <t>cpsNone</t>
  </si>
  <si>
    <t>A3</t>
  </si>
  <si>
    <t>pdcPositive</t>
  </si>
  <si>
    <t>A4</t>
  </si>
  <si>
    <t>Sample 4</t>
  </si>
  <si>
    <t>A5</t>
  </si>
  <si>
    <t>A6</t>
  </si>
  <si>
    <t>Sample 6</t>
  </si>
  <si>
    <t>A7</t>
  </si>
  <si>
    <t>A8</t>
  </si>
  <si>
    <t>Sample 8</t>
  </si>
  <si>
    <t>A9</t>
  </si>
  <si>
    <t>A10</t>
  </si>
  <si>
    <t>Sample 10</t>
  </si>
  <si>
    <t>A11</t>
  </si>
  <si>
    <t>A12</t>
  </si>
  <si>
    <t>Sample 12</t>
  </si>
  <si>
    <t>E</t>
  </si>
  <si>
    <t>Extrapolated concentration in standard curve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</si>
  <si>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</si>
  <si>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</si>
  <si>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</si>
  <si>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</si>
  <si>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</si>
  <si>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</si>
  <si>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</si>
  <si>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</si>
  <si>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</si>
  <si>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</si>
  <si>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</si>
  <si>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</si>
  <si>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</si>
  <si>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</si>
  <si>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</si>
  <si>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</si>
  <si>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</si>
  <si>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</si>
  <si>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</si>
  <si>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</si>
  <si>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</si>
  <si>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</si>
  <si>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</si>
  <si>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</si>
  <si>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</si>
  <si>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</si>
  <si>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</si>
  <si>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</si>
  <si>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</si>
  <si>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</si>
  <si>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장재명고객 176-1/10</t>
    <phoneticPr fontId="18" type="noConversion"/>
  </si>
  <si>
    <t>장재명고객 176-1/100</t>
    <phoneticPr fontId="18" type="noConversion"/>
  </si>
  <si>
    <t>장재명고객 176-1/1000</t>
    <phoneticPr fontId="18" type="noConversion"/>
  </si>
  <si>
    <t>장재명고객 190-1/10</t>
    <phoneticPr fontId="18" type="noConversion"/>
  </si>
  <si>
    <t>장재명고객 190-1/100</t>
    <phoneticPr fontId="18" type="noConversion"/>
  </si>
  <si>
    <t>장재명고객 190-1/1000</t>
    <phoneticPr fontId="18" type="noConversion"/>
  </si>
  <si>
    <t>장재명고객 77-1/10</t>
    <phoneticPr fontId="18" type="noConversion"/>
  </si>
  <si>
    <t>장재명고객 77-1/100</t>
    <phoneticPr fontId="18" type="noConversion"/>
  </si>
  <si>
    <t>장재명고객 77-1/1000</t>
    <phoneticPr fontId="18" type="noConversion"/>
  </si>
  <si>
    <t>장재명고객 193-1/10</t>
    <phoneticPr fontId="18" type="noConversion"/>
  </si>
  <si>
    <t>장재명고객 193-1/100</t>
    <phoneticPr fontId="18" type="noConversion"/>
  </si>
  <si>
    <t>장재명고객 193-1/1000</t>
    <phoneticPr fontId="18" type="noConversion"/>
  </si>
  <si>
    <t>장재명고객 80-1/10</t>
    <phoneticPr fontId="18" type="noConversion"/>
  </si>
  <si>
    <t>장재명고객 80-1/100</t>
    <phoneticPr fontId="18" type="noConversion"/>
  </si>
  <si>
    <t>장재명고객 80-1/1000</t>
    <phoneticPr fontId="18" type="noConversion"/>
  </si>
  <si>
    <t>CrossingPoint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</si>
</sst>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0" fontId="20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F3" sqref="F3"/>
    </sheetView>
  </sheetViews>
  <sheetFormatPr defaultRowHeight="16.5" x14ac:dyDescent="0.3"/>
  <cols>
    <col min="5" max="5" width="21.25" customWidth="1"/>
    <col min="6" max="6" width="13.625" bestFit="1" customWidth="1"/>
    <col min="7" max="7" width="14" bestFit="1" customWidth="1"/>
    <col min="8" max="8" width="14.5" style="1" bestFit="1" customWidth="1"/>
    <col min="12" max="12" width="7.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17</v>
      </c>
      <c r="H2" s="1" t="s">
        <v>17</v>
      </c>
      <c r="I2" t="s">
        <v>17</v>
      </c>
      <c r="J2" t="s">
        <v>17</v>
      </c>
      <c r="K2" t="s">
        <v>18</v>
      </c>
      <c r="L2">
        <v>0</v>
      </c>
      <c r="M2" t="s">
        <v>19</v>
      </c>
      <c r="N2">
        <v>0</v>
      </c>
    </row>
    <row r="3" spans="1:14" x14ac:dyDescent="0.3">
      <c r="A3" t="s">
        <v>13</v>
      </c>
      <c r="B3" t="s">
        <v>14</v>
      </c>
      <c r="C3">
        <v>0</v>
      </c>
      <c r="D3" t="s">
        <v>20</v>
      </c>
      <c r="E3" t="s">
        <v>21</v>
      </c>
      <c r="F3">
        <v>23.557511903789202</v>
      </c>
      <c r="G3">
        <v>2.0380866757831999E-3</v>
      </c>
      <c r="H3">
        <v>2E-3</v>
      </c>
      <c r="I3" t="s">
        <v>17</v>
      </c>
      <c r="J3" t="s">
        <v>17</v>
      </c>
      <c r="K3" t="s">
        <v>22</v>
      </c>
      <c r="L3">
        <v>0</v>
      </c>
      <c r="M3" t="s">
        <v>23</v>
      </c>
      <c r="N3">
        <v>0</v>
      </c>
    </row>
    <row r="4" spans="1:14" x14ac:dyDescent="0.3">
      <c r="A4" t="s">
        <v>13</v>
      </c>
      <c r="B4" t="s">
        <v>14</v>
      </c>
      <c r="C4">
        <v>1</v>
      </c>
      <c r="D4" t="s">
        <v>24</v>
      </c>
      <c r="E4" t="s">
        <v>21</v>
      </c>
      <c r="F4">
        <v>22.471043646373399</v>
      </c>
      <c r="G4">
        <v>1.9578709776957399E-3</v>
      </c>
      <c r="H4" s="1">
        <v>2E-3</v>
      </c>
      <c r="I4" t="s">
        <v>17</v>
      </c>
      <c r="J4" t="s">
        <v>17</v>
      </c>
      <c r="K4" t="s">
        <v>25</v>
      </c>
      <c r="L4">
        <v>0</v>
      </c>
      <c r="M4" t="s">
        <v>19</v>
      </c>
      <c r="N4">
        <v>0</v>
      </c>
    </row>
    <row r="5" spans="1:14" x14ac:dyDescent="0.3">
      <c r="A5" t="s">
        <v>13</v>
      </c>
      <c r="B5" t="s">
        <v>14</v>
      </c>
      <c r="C5">
        <v>1</v>
      </c>
      <c r="D5" t="s">
        <v>26</v>
      </c>
      <c r="E5" t="s">
        <v>27</v>
      </c>
      <c r="F5">
        <v>18.958153287594701</v>
      </c>
      <c r="G5">
        <v>2.0168149482484299E-2</v>
      </c>
      <c r="H5" s="1">
        <v>0.02</v>
      </c>
      <c r="I5" t="s">
        <v>17</v>
      </c>
      <c r="J5" t="s">
        <v>17</v>
      </c>
      <c r="K5" t="s">
        <v>25</v>
      </c>
      <c r="L5">
        <v>0</v>
      </c>
      <c r="M5" t="s">
        <v>19</v>
      </c>
      <c r="N5">
        <v>0</v>
      </c>
    </row>
    <row r="6" spans="1:14" x14ac:dyDescent="0.3">
      <c r="A6" t="s">
        <v>13</v>
      </c>
      <c r="B6" t="s">
        <v>14</v>
      </c>
      <c r="C6">
        <v>1</v>
      </c>
      <c r="D6" t="s">
        <v>28</v>
      </c>
      <c r="E6" t="s">
        <v>27</v>
      </c>
      <c r="F6">
        <v>18.9422033687745</v>
      </c>
      <c r="G6">
        <v>2.03828514086371E-2</v>
      </c>
      <c r="H6" s="1">
        <v>0.02</v>
      </c>
      <c r="I6" t="s">
        <v>17</v>
      </c>
      <c r="J6" t="s">
        <v>17</v>
      </c>
      <c r="K6" t="s">
        <v>25</v>
      </c>
      <c r="L6">
        <v>0</v>
      </c>
      <c r="M6" t="s">
        <v>19</v>
      </c>
      <c r="N6">
        <v>0</v>
      </c>
    </row>
    <row r="7" spans="1:14" x14ac:dyDescent="0.3">
      <c r="A7" t="s">
        <v>13</v>
      </c>
      <c r="B7" t="s">
        <v>14</v>
      </c>
      <c r="C7">
        <v>1</v>
      </c>
      <c r="D7" t="s">
        <v>29</v>
      </c>
      <c r="E7" t="s">
        <v>30</v>
      </c>
      <c r="F7">
        <v>15.534493177645601</v>
      </c>
      <c r="G7">
        <v>0.19580330363825099</v>
      </c>
      <c r="H7" s="1">
        <v>0.2</v>
      </c>
      <c r="I7" t="s">
        <v>17</v>
      </c>
      <c r="J7" t="s">
        <v>17</v>
      </c>
      <c r="K7" t="s">
        <v>25</v>
      </c>
      <c r="L7">
        <v>0</v>
      </c>
      <c r="M7" t="s">
        <v>19</v>
      </c>
      <c r="N7">
        <v>0</v>
      </c>
    </row>
    <row r="8" spans="1:14" x14ac:dyDescent="0.3">
      <c r="A8" t="s">
        <v>13</v>
      </c>
      <c r="B8" t="s">
        <v>14</v>
      </c>
      <c r="C8">
        <v>1</v>
      </c>
      <c r="D8" t="s">
        <v>31</v>
      </c>
      <c r="E8" t="s">
        <v>30</v>
      </c>
      <c r="F8">
        <v>15.5025418126038</v>
      </c>
      <c r="G8">
        <v>0.200001220465439</v>
      </c>
      <c r="H8" s="1">
        <v>0.2</v>
      </c>
      <c r="I8" t="s">
        <v>17</v>
      </c>
      <c r="J8" t="s">
        <v>17</v>
      </c>
      <c r="K8" t="s">
        <v>25</v>
      </c>
      <c r="L8">
        <v>0</v>
      </c>
      <c r="M8" t="s">
        <v>19</v>
      </c>
      <c r="N8">
        <v>0</v>
      </c>
    </row>
    <row r="9" spans="1:14" x14ac:dyDescent="0.3">
      <c r="A9" t="s">
        <v>13</v>
      </c>
      <c r="B9" t="s">
        <v>14</v>
      </c>
      <c r="C9">
        <v>1</v>
      </c>
      <c r="D9" t="s">
        <v>32</v>
      </c>
      <c r="E9" t="s">
        <v>33</v>
      </c>
      <c r="F9">
        <v>11.9763881024349</v>
      </c>
      <c r="G9">
        <v>2.0784466898703799</v>
      </c>
      <c r="H9" s="1">
        <v>2</v>
      </c>
      <c r="I9" t="s">
        <v>17</v>
      </c>
      <c r="J9" t="s">
        <v>17</v>
      </c>
      <c r="K9" t="s">
        <v>25</v>
      </c>
      <c r="L9">
        <v>0</v>
      </c>
      <c r="M9" t="s">
        <v>19</v>
      </c>
      <c r="N9">
        <v>0</v>
      </c>
    </row>
    <row r="10" spans="1:14" x14ac:dyDescent="0.3">
      <c r="A10" t="s">
        <v>13</v>
      </c>
      <c r="B10" t="s">
        <v>14</v>
      </c>
      <c r="C10">
        <v>1</v>
      </c>
      <c r="D10" t="s">
        <v>34</v>
      </c>
      <c r="E10" t="s">
        <v>33</v>
      </c>
      <c r="F10">
        <v>11.8954008500756</v>
      </c>
      <c r="G10">
        <v>2.1932603214544502</v>
      </c>
      <c r="H10" s="1">
        <v>2</v>
      </c>
      <c r="I10" t="s">
        <v>17</v>
      </c>
      <c r="J10" t="s">
        <v>17</v>
      </c>
      <c r="K10" t="s">
        <v>25</v>
      </c>
      <c r="L10">
        <v>0</v>
      </c>
      <c r="M10" t="s">
        <v>19</v>
      </c>
      <c r="N10">
        <v>0</v>
      </c>
    </row>
    <row r="11" spans="1:14" x14ac:dyDescent="0.3">
      <c r="A11" t="s">
        <v>13</v>
      </c>
      <c r="B11" t="s">
        <v>14</v>
      </c>
      <c r="C11">
        <v>1</v>
      </c>
      <c r="D11" t="s">
        <v>35</v>
      </c>
      <c r="E11" t="s">
        <v>36</v>
      </c>
      <c r="F11">
        <v>8.6172831575996796</v>
      </c>
      <c r="G11">
        <v>19.3321195906809</v>
      </c>
      <c r="H11" s="1">
        <v>20</v>
      </c>
      <c r="I11" t="s">
        <v>17</v>
      </c>
      <c r="J11" t="s">
        <v>17</v>
      </c>
      <c r="K11" t="s">
        <v>25</v>
      </c>
      <c r="L11">
        <v>0</v>
      </c>
      <c r="M11" t="s">
        <v>19</v>
      </c>
      <c r="N11">
        <v>0</v>
      </c>
    </row>
    <row r="12" spans="1:14" x14ac:dyDescent="0.3">
      <c r="A12" t="s">
        <v>13</v>
      </c>
      <c r="B12" t="s">
        <v>14</v>
      </c>
      <c r="C12">
        <v>1</v>
      </c>
      <c r="D12" t="s">
        <v>37</v>
      </c>
      <c r="E12" t="s">
        <v>36</v>
      </c>
      <c r="F12">
        <v>8.65695899110389</v>
      </c>
      <c r="G12">
        <v>18.8295362338927</v>
      </c>
      <c r="H12" s="1">
        <v>20</v>
      </c>
      <c r="I12" t="s">
        <v>17</v>
      </c>
      <c r="J12" t="s">
        <v>17</v>
      </c>
      <c r="K12" t="s">
        <v>25</v>
      </c>
      <c r="L12">
        <v>0</v>
      </c>
      <c r="M12" t="s">
        <v>19</v>
      </c>
      <c r="N12">
        <v>0</v>
      </c>
    </row>
    <row r="13" spans="1:14" x14ac:dyDescent="0.3">
      <c r="A13" t="s">
        <v>13</v>
      </c>
      <c r="B13" t="s">
        <v>14</v>
      </c>
      <c r="C13">
        <v>1</v>
      </c>
      <c r="D13" t="s">
        <v>38</v>
      </c>
      <c r="E13" t="s">
        <v>39</v>
      </c>
      <c r="F13" t="s">
        <v>17</v>
      </c>
      <c r="G13" t="s">
        <v>17</v>
      </c>
      <c r="H13" s="1" t="s">
        <v>17</v>
      </c>
      <c r="I13" t="s">
        <v>17</v>
      </c>
      <c r="J13" t="s">
        <v>17</v>
      </c>
      <c r="K13" t="s">
        <v>18</v>
      </c>
      <c r="L13">
        <v>0</v>
      </c>
      <c r="M13" t="s">
        <v>19</v>
      </c>
      <c r="N13">
        <v>0</v>
      </c>
    </row>
    <row r="14" spans="1:14" x14ac:dyDescent="0.3">
      <c r="A14" t="s">
        <v>13</v>
      </c>
      <c r="B14" t="s">
        <v>14</v>
      </c>
      <c r="C14">
        <v>1</v>
      </c>
      <c r="D14" t="s">
        <v>42</v>
      </c>
      <c r="E14" s="3" t="s">
        <v>72</v>
      </c>
      <c r="F14">
        <v>21.226308987201801</v>
      </c>
      <c r="G14">
        <v>4.47385665215402E-3</v>
      </c>
      <c r="H14" s="2">
        <f t="shared" ref="H14" si="0">AVERAGE(G14:G15)</f>
        <v>4.3169392807725204E-3</v>
      </c>
      <c r="I14" t="s">
        <v>17</v>
      </c>
      <c r="J14" t="s">
        <v>17</v>
      </c>
      <c r="K14" t="s">
        <v>25</v>
      </c>
      <c r="L14">
        <v>0</v>
      </c>
      <c r="M14" t="s">
        <v>19</v>
      </c>
      <c r="N14">
        <v>0</v>
      </c>
    </row>
    <row r="15" spans="1:14" x14ac:dyDescent="0.3">
      <c r="A15" t="s">
        <v>13</v>
      </c>
      <c r="B15" t="s">
        <v>14</v>
      </c>
      <c r="C15">
        <v>1</v>
      </c>
      <c r="D15" t="s">
        <v>43</v>
      </c>
      <c r="E15" s="3"/>
      <c r="F15">
        <v>21.3358575092569</v>
      </c>
      <c r="G15">
        <v>4.1600219093910198E-3</v>
      </c>
      <c r="H15" s="2" t="s">
        <v>17</v>
      </c>
      <c r="I15" t="s">
        <v>17</v>
      </c>
      <c r="J15" t="s">
        <v>17</v>
      </c>
      <c r="K15" t="s">
        <v>25</v>
      </c>
      <c r="L15">
        <v>0</v>
      </c>
      <c r="M15" t="s">
        <v>19</v>
      </c>
      <c r="N15">
        <v>0</v>
      </c>
    </row>
    <row r="16" spans="1:14" x14ac:dyDescent="0.3">
      <c r="A16" t="s">
        <v>13</v>
      </c>
      <c r="B16" t="s">
        <v>14</v>
      </c>
      <c r="C16">
        <v>1</v>
      </c>
      <c r="D16" t="s">
        <v>44</v>
      </c>
      <c r="E16" s="3" t="s">
        <v>73</v>
      </c>
      <c r="F16">
        <v>24.130320356599398</v>
      </c>
      <c r="G16">
        <v>6.5066874685202995E-4</v>
      </c>
      <c r="H16" s="2">
        <f t="shared" ref="H16" si="1">AVERAGE(G16:G17)</f>
        <v>6.0177027171021743E-4</v>
      </c>
      <c r="I16" t="s">
        <v>40</v>
      </c>
      <c r="J16" t="s">
        <v>41</v>
      </c>
      <c r="K16" t="s">
        <v>25</v>
      </c>
      <c r="L16">
        <v>0</v>
      </c>
      <c r="M16" t="s">
        <v>19</v>
      </c>
      <c r="N16">
        <v>1</v>
      </c>
    </row>
    <row r="17" spans="1:14" x14ac:dyDescent="0.3">
      <c r="A17" t="s">
        <v>13</v>
      </c>
      <c r="B17" t="s">
        <v>14</v>
      </c>
      <c r="C17">
        <v>1</v>
      </c>
      <c r="D17" t="s">
        <v>45</v>
      </c>
      <c r="E17" s="3"/>
      <c r="F17">
        <v>24.3756461684508</v>
      </c>
      <c r="G17">
        <v>5.5287179656840501E-4</v>
      </c>
      <c r="H17" s="2" t="s">
        <v>17</v>
      </c>
      <c r="I17" t="s">
        <v>40</v>
      </c>
      <c r="J17" t="s">
        <v>41</v>
      </c>
      <c r="K17" t="s">
        <v>25</v>
      </c>
      <c r="L17">
        <v>0</v>
      </c>
      <c r="M17" t="s">
        <v>19</v>
      </c>
      <c r="N17">
        <v>1</v>
      </c>
    </row>
    <row r="18" spans="1:14" x14ac:dyDescent="0.3">
      <c r="A18" t="s">
        <v>13</v>
      </c>
      <c r="B18" t="s">
        <v>14</v>
      </c>
      <c r="C18">
        <v>1</v>
      </c>
      <c r="D18" t="s">
        <v>46</v>
      </c>
      <c r="E18" s="3" t="s">
        <v>74</v>
      </c>
      <c r="F18">
        <v>26.423124290943001</v>
      </c>
      <c r="G18">
        <v>1.41993695529332E-4</v>
      </c>
      <c r="H18" s="2">
        <f t="shared" ref="H18" si="2">AVERAGE(G18:G19)</f>
        <v>1.26190346484554E-4</v>
      </c>
      <c r="I18" t="s">
        <v>40</v>
      </c>
      <c r="J18" t="s">
        <v>41</v>
      </c>
      <c r="K18" t="s">
        <v>25</v>
      </c>
      <c r="L18">
        <v>0</v>
      </c>
      <c r="M18" t="s">
        <v>19</v>
      </c>
      <c r="N18">
        <v>1</v>
      </c>
    </row>
    <row r="19" spans="1:14" x14ac:dyDescent="0.3">
      <c r="A19" t="s">
        <v>13</v>
      </c>
      <c r="B19" t="s">
        <v>14</v>
      </c>
      <c r="C19">
        <v>1</v>
      </c>
      <c r="D19" t="s">
        <v>47</v>
      </c>
      <c r="E19" s="3"/>
      <c r="F19">
        <v>26.802377331265198</v>
      </c>
      <c r="G19">
        <v>1.1038699743977599E-4</v>
      </c>
      <c r="H19" s="2" t="s">
        <v>17</v>
      </c>
      <c r="I19" t="s">
        <v>40</v>
      </c>
      <c r="J19" t="s">
        <v>41</v>
      </c>
      <c r="K19" t="s">
        <v>25</v>
      </c>
      <c r="L19">
        <v>0</v>
      </c>
      <c r="M19" t="s">
        <v>19</v>
      </c>
      <c r="N19">
        <v>1</v>
      </c>
    </row>
    <row r="20" spans="1:14" x14ac:dyDescent="0.3">
      <c r="A20" t="s">
        <v>13</v>
      </c>
      <c r="B20" t="s">
        <v>14</v>
      </c>
      <c r="C20">
        <v>1</v>
      </c>
      <c r="D20" t="s">
        <v>48</v>
      </c>
      <c r="E20" s="3" t="s">
        <v>75</v>
      </c>
      <c r="F20">
        <v>9.6645464630700602</v>
      </c>
      <c r="G20">
        <v>9.6453717736421503</v>
      </c>
      <c r="H20" s="2">
        <f t="shared" ref="H20" si="3">AVERAGE(G20:G21)</f>
        <v>10.249970175751475</v>
      </c>
      <c r="I20" t="s">
        <v>17</v>
      </c>
      <c r="J20" t="s">
        <v>17</v>
      </c>
      <c r="K20" t="s">
        <v>25</v>
      </c>
      <c r="L20">
        <v>0</v>
      </c>
      <c r="M20" t="s">
        <v>19</v>
      </c>
      <c r="N20">
        <v>0</v>
      </c>
    </row>
    <row r="21" spans="1:14" x14ac:dyDescent="0.3">
      <c r="A21" t="s">
        <v>13</v>
      </c>
      <c r="B21" t="s">
        <v>14</v>
      </c>
      <c r="C21">
        <v>1</v>
      </c>
      <c r="D21" t="s">
        <v>49</v>
      </c>
      <c r="E21" s="3"/>
      <c r="F21">
        <v>9.4866493554039799</v>
      </c>
      <c r="G21">
        <v>10.8545685778608</v>
      </c>
      <c r="H21" s="2" t="s">
        <v>17</v>
      </c>
      <c r="I21" t="s">
        <v>17</v>
      </c>
      <c r="J21" t="s">
        <v>17</v>
      </c>
      <c r="K21" t="s">
        <v>25</v>
      </c>
      <c r="L21">
        <v>0</v>
      </c>
      <c r="M21" t="s">
        <v>19</v>
      </c>
      <c r="N21">
        <v>0</v>
      </c>
    </row>
    <row r="22" spans="1:14" x14ac:dyDescent="0.3">
      <c r="A22" t="s">
        <v>13</v>
      </c>
      <c r="B22" t="s">
        <v>14</v>
      </c>
      <c r="C22">
        <v>1</v>
      </c>
      <c r="D22" t="s">
        <v>50</v>
      </c>
      <c r="E22" s="3" t="s">
        <v>76</v>
      </c>
      <c r="F22">
        <v>12.771684655972701</v>
      </c>
      <c r="G22">
        <v>1.2258256407982899</v>
      </c>
      <c r="H22" s="2">
        <f t="shared" ref="H22" si="4">AVERAGE(G22:G23)</f>
        <v>1.1638066779983949</v>
      </c>
      <c r="I22" t="s">
        <v>17</v>
      </c>
      <c r="J22" t="s">
        <v>17</v>
      </c>
      <c r="K22" t="s">
        <v>25</v>
      </c>
      <c r="L22">
        <v>0</v>
      </c>
      <c r="M22" t="s">
        <v>19</v>
      </c>
      <c r="N22">
        <v>0</v>
      </c>
    </row>
    <row r="23" spans="1:14" x14ac:dyDescent="0.3">
      <c r="A23" t="s">
        <v>13</v>
      </c>
      <c r="B23" t="s">
        <v>14</v>
      </c>
      <c r="C23">
        <v>1</v>
      </c>
      <c r="D23" t="s">
        <v>51</v>
      </c>
      <c r="E23" s="3"/>
      <c r="F23">
        <v>12.9323696495159</v>
      </c>
      <c r="G23">
        <v>1.1017877151985001</v>
      </c>
      <c r="H23" s="2" t="s">
        <v>17</v>
      </c>
      <c r="I23" t="s">
        <v>17</v>
      </c>
      <c r="J23" t="s">
        <v>17</v>
      </c>
      <c r="K23" t="s">
        <v>25</v>
      </c>
      <c r="L23">
        <v>0</v>
      </c>
      <c r="M23" t="s">
        <v>19</v>
      </c>
      <c r="N23">
        <v>0</v>
      </c>
    </row>
    <row r="24" spans="1:14" x14ac:dyDescent="0.3">
      <c r="A24" t="s">
        <v>13</v>
      </c>
      <c r="B24" t="s">
        <v>14</v>
      </c>
      <c r="C24">
        <v>1</v>
      </c>
      <c r="D24" t="s">
        <v>52</v>
      </c>
      <c r="E24" s="3" t="s">
        <v>77</v>
      </c>
      <c r="F24">
        <v>16.232909678508602</v>
      </c>
      <c r="G24">
        <v>0.123152586192734</v>
      </c>
      <c r="H24" s="2">
        <f t="shared" ref="H24" si="5">AVERAGE(G24:G25)</f>
        <v>0.1167633014398905</v>
      </c>
      <c r="I24" t="s">
        <v>17</v>
      </c>
      <c r="J24" t="s">
        <v>17</v>
      </c>
      <c r="K24" t="s">
        <v>25</v>
      </c>
      <c r="L24">
        <v>0</v>
      </c>
      <c r="M24" t="s">
        <v>19</v>
      </c>
      <c r="N24">
        <v>0</v>
      </c>
    </row>
    <row r="25" spans="1:14" x14ac:dyDescent="0.3">
      <c r="A25" t="s">
        <v>13</v>
      </c>
      <c r="B25" t="s">
        <v>14</v>
      </c>
      <c r="C25">
        <v>1</v>
      </c>
      <c r="D25" t="s">
        <v>53</v>
      </c>
      <c r="E25" s="3"/>
      <c r="F25">
        <v>16.397915764688399</v>
      </c>
      <c r="G25">
        <v>0.11037401668704699</v>
      </c>
      <c r="H25" s="2" t="s">
        <v>17</v>
      </c>
      <c r="I25" t="s">
        <v>17</v>
      </c>
      <c r="J25" t="s">
        <v>17</v>
      </c>
      <c r="K25" t="s">
        <v>25</v>
      </c>
      <c r="L25">
        <v>0</v>
      </c>
      <c r="M25" t="s">
        <v>19</v>
      </c>
      <c r="N25">
        <v>0</v>
      </c>
    </row>
    <row r="26" spans="1:14" x14ac:dyDescent="0.3">
      <c r="A26" t="s">
        <v>13</v>
      </c>
      <c r="B26" t="s">
        <v>14</v>
      </c>
      <c r="C26">
        <v>1</v>
      </c>
      <c r="D26" t="s">
        <v>54</v>
      </c>
      <c r="E26" s="3" t="s">
        <v>78</v>
      </c>
      <c r="F26">
        <v>17.5538048737974</v>
      </c>
      <c r="G26">
        <v>5.1237266206370299E-2</v>
      </c>
      <c r="H26" s="2">
        <f t="shared" ref="H26" si="6">AVERAGE(G26:G27)</f>
        <v>5.0576657498003552E-2</v>
      </c>
      <c r="I26" t="s">
        <v>17</v>
      </c>
      <c r="J26" t="s">
        <v>17</v>
      </c>
      <c r="K26" t="s">
        <v>25</v>
      </c>
      <c r="L26">
        <v>0</v>
      </c>
      <c r="M26" t="s">
        <v>19</v>
      </c>
      <c r="N26">
        <v>0</v>
      </c>
    </row>
    <row r="27" spans="1:14" x14ac:dyDescent="0.3">
      <c r="A27" t="s">
        <v>13</v>
      </c>
      <c r="B27" t="s">
        <v>14</v>
      </c>
      <c r="C27">
        <v>1</v>
      </c>
      <c r="D27" t="s">
        <v>55</v>
      </c>
      <c r="E27" s="3"/>
      <c r="F27">
        <v>17.593154347262601</v>
      </c>
      <c r="G27">
        <v>4.9916048789636798E-2</v>
      </c>
      <c r="H27" s="2" t="s">
        <v>17</v>
      </c>
      <c r="I27" t="s">
        <v>17</v>
      </c>
      <c r="J27" t="s">
        <v>17</v>
      </c>
      <c r="K27" t="s">
        <v>25</v>
      </c>
      <c r="L27">
        <v>0</v>
      </c>
      <c r="M27" t="s">
        <v>19</v>
      </c>
      <c r="N27">
        <v>0</v>
      </c>
    </row>
    <row r="28" spans="1:14" x14ac:dyDescent="0.3">
      <c r="A28" t="s">
        <v>13</v>
      </c>
      <c r="B28" t="s">
        <v>14</v>
      </c>
      <c r="C28">
        <v>1</v>
      </c>
      <c r="D28" t="s">
        <v>56</v>
      </c>
      <c r="E28" s="3" t="s">
        <v>79</v>
      </c>
      <c r="F28">
        <v>21.212235573516601</v>
      </c>
      <c r="G28">
        <v>4.5158540083886697E-3</v>
      </c>
      <c r="H28" s="2">
        <f t="shared" ref="H28" si="7">AVERAGE(G28:G29)</f>
        <v>4.5283156717226746E-3</v>
      </c>
      <c r="I28" t="s">
        <v>17</v>
      </c>
      <c r="J28" t="s">
        <v>17</v>
      </c>
      <c r="K28" t="s">
        <v>25</v>
      </c>
      <c r="L28">
        <v>0</v>
      </c>
      <c r="M28" t="s">
        <v>19</v>
      </c>
      <c r="N28">
        <v>0</v>
      </c>
    </row>
    <row r="29" spans="1:14" x14ac:dyDescent="0.3">
      <c r="A29" t="s">
        <v>13</v>
      </c>
      <c r="B29" t="s">
        <v>14</v>
      </c>
      <c r="C29">
        <v>1</v>
      </c>
      <c r="D29" t="s">
        <v>57</v>
      </c>
      <c r="E29" s="3"/>
      <c r="F29">
        <v>21.2039454600942</v>
      </c>
      <c r="G29">
        <v>4.5407773350566796E-3</v>
      </c>
      <c r="H29" s="2" t="s">
        <v>17</v>
      </c>
      <c r="I29" t="s">
        <v>17</v>
      </c>
      <c r="J29" t="s">
        <v>17</v>
      </c>
      <c r="K29" t="s">
        <v>25</v>
      </c>
      <c r="L29">
        <v>0</v>
      </c>
      <c r="M29" t="s">
        <v>19</v>
      </c>
      <c r="N29">
        <v>0</v>
      </c>
    </row>
    <row r="30" spans="1:14" x14ac:dyDescent="0.3">
      <c r="A30" t="s">
        <v>13</v>
      </c>
      <c r="B30" t="s">
        <v>14</v>
      </c>
      <c r="C30">
        <v>1</v>
      </c>
      <c r="D30" t="s">
        <v>58</v>
      </c>
      <c r="E30" s="3" t="s">
        <v>80</v>
      </c>
      <c r="F30">
        <v>24.4251591641858</v>
      </c>
      <c r="G30">
        <v>5.3499313435696695E-4</v>
      </c>
      <c r="H30" s="2">
        <f t="shared" ref="H30" si="8">AVERAGE(G30:G31)</f>
        <v>5.1929074099647202E-4</v>
      </c>
      <c r="I30" t="s">
        <v>40</v>
      </c>
      <c r="J30" t="s">
        <v>41</v>
      </c>
      <c r="K30" t="s">
        <v>25</v>
      </c>
      <c r="L30">
        <v>0</v>
      </c>
      <c r="M30" t="s">
        <v>19</v>
      </c>
      <c r="N30">
        <v>1</v>
      </c>
    </row>
    <row r="31" spans="1:14" x14ac:dyDescent="0.3">
      <c r="A31" t="s">
        <v>13</v>
      </c>
      <c r="B31" t="s">
        <v>14</v>
      </c>
      <c r="C31">
        <v>1</v>
      </c>
      <c r="D31" t="s">
        <v>59</v>
      </c>
      <c r="E31" s="3"/>
      <c r="F31">
        <v>24.516277912925599</v>
      </c>
      <c r="G31">
        <v>5.0358834763597699E-4</v>
      </c>
      <c r="H31" s="2" t="s">
        <v>17</v>
      </c>
      <c r="I31" t="s">
        <v>40</v>
      </c>
      <c r="J31" t="s">
        <v>41</v>
      </c>
      <c r="K31" t="s">
        <v>25</v>
      </c>
      <c r="L31">
        <v>0</v>
      </c>
      <c r="M31" t="s">
        <v>19</v>
      </c>
      <c r="N31">
        <v>1</v>
      </c>
    </row>
    <row r="32" spans="1:14" x14ac:dyDescent="0.3">
      <c r="A32" t="s">
        <v>13</v>
      </c>
      <c r="B32" t="s">
        <v>14</v>
      </c>
      <c r="C32">
        <v>1</v>
      </c>
      <c r="D32" t="s">
        <v>60</v>
      </c>
      <c r="E32" s="3" t="s">
        <v>81</v>
      </c>
      <c r="F32">
        <v>24.183037087637999</v>
      </c>
      <c r="G32">
        <v>6.2828975390393502E-4</v>
      </c>
      <c r="H32" s="2">
        <f t="shared" ref="H32" si="9">AVERAGE(G32:G33)</f>
        <v>7.0200969625413049E-4</v>
      </c>
      <c r="I32" t="s">
        <v>40</v>
      </c>
      <c r="J32" t="s">
        <v>41</v>
      </c>
      <c r="K32" t="s">
        <v>25</v>
      </c>
      <c r="L32">
        <v>0</v>
      </c>
      <c r="M32" t="s">
        <v>19</v>
      </c>
      <c r="N32">
        <v>1</v>
      </c>
    </row>
    <row r="33" spans="1:14" x14ac:dyDescent="0.3">
      <c r="A33" t="s">
        <v>13</v>
      </c>
      <c r="B33" t="s">
        <v>14</v>
      </c>
      <c r="C33">
        <v>1</v>
      </c>
      <c r="D33" t="s">
        <v>61</v>
      </c>
      <c r="E33" s="3"/>
      <c r="F33">
        <v>23.865520782746799</v>
      </c>
      <c r="G33">
        <v>7.7572963860432595E-4</v>
      </c>
      <c r="H33" s="2" t="s">
        <v>17</v>
      </c>
      <c r="I33" t="s">
        <v>40</v>
      </c>
      <c r="J33" t="s">
        <v>41</v>
      </c>
      <c r="K33" t="s">
        <v>25</v>
      </c>
      <c r="L33">
        <v>0</v>
      </c>
      <c r="M33" t="s">
        <v>19</v>
      </c>
      <c r="N33">
        <v>1</v>
      </c>
    </row>
    <row r="34" spans="1:14" x14ac:dyDescent="0.3">
      <c r="A34" t="s">
        <v>13</v>
      </c>
      <c r="B34" t="s">
        <v>14</v>
      </c>
      <c r="C34">
        <v>1</v>
      </c>
      <c r="D34" t="s">
        <v>62</v>
      </c>
      <c r="E34" s="3" t="s">
        <v>82</v>
      </c>
      <c r="F34">
        <v>25.9887792259373</v>
      </c>
      <c r="G34">
        <v>1.8945455402420499E-4</v>
      </c>
      <c r="H34" s="2">
        <f t="shared" ref="H34" si="10">AVERAGE(G34:G35)</f>
        <v>1.9755745329158651E-4</v>
      </c>
      <c r="I34" t="s">
        <v>40</v>
      </c>
      <c r="J34" t="s">
        <v>41</v>
      </c>
      <c r="K34" t="s">
        <v>25</v>
      </c>
      <c r="L34">
        <v>0</v>
      </c>
      <c r="M34" t="s">
        <v>19</v>
      </c>
      <c r="N34">
        <v>1</v>
      </c>
    </row>
    <row r="35" spans="1:14" x14ac:dyDescent="0.3">
      <c r="A35" t="s">
        <v>13</v>
      </c>
      <c r="B35" t="s">
        <v>14</v>
      </c>
      <c r="C35">
        <v>1</v>
      </c>
      <c r="D35" t="s">
        <v>63</v>
      </c>
      <c r="E35" s="3"/>
      <c r="F35">
        <v>25.865152949880098</v>
      </c>
      <c r="G35">
        <v>2.05660352558968E-4</v>
      </c>
      <c r="H35" s="2" t="s">
        <v>17</v>
      </c>
      <c r="I35" t="s">
        <v>40</v>
      </c>
      <c r="J35" t="s">
        <v>41</v>
      </c>
      <c r="K35" t="s">
        <v>25</v>
      </c>
      <c r="L35">
        <v>0</v>
      </c>
      <c r="M35" t="s">
        <v>19</v>
      </c>
      <c r="N35">
        <v>1</v>
      </c>
    </row>
    <row r="36" spans="1:14" x14ac:dyDescent="0.3">
      <c r="A36" t="s">
        <v>13</v>
      </c>
      <c r="B36" t="s">
        <v>14</v>
      </c>
      <c r="C36">
        <v>1</v>
      </c>
      <c r="D36" t="s">
        <v>64</v>
      </c>
      <c r="E36" s="3" t="s">
        <v>83</v>
      </c>
      <c r="F36">
        <v>26.437454228598799</v>
      </c>
      <c r="G36">
        <v>1.4064920098552701E-4</v>
      </c>
      <c r="H36" s="2">
        <f t="shared" ref="H36" si="11">AVERAGE(G36:G37)</f>
        <v>1.4903111109332702E-4</v>
      </c>
      <c r="I36" t="s">
        <v>40</v>
      </c>
      <c r="J36" t="s">
        <v>41</v>
      </c>
      <c r="K36" t="s">
        <v>25</v>
      </c>
      <c r="L36">
        <v>0</v>
      </c>
      <c r="M36" t="s">
        <v>19</v>
      </c>
      <c r="N36">
        <v>1</v>
      </c>
    </row>
    <row r="37" spans="1:14" x14ac:dyDescent="0.3">
      <c r="A37" t="s">
        <v>13</v>
      </c>
      <c r="B37" t="s">
        <v>14</v>
      </c>
      <c r="C37">
        <v>1</v>
      </c>
      <c r="D37" t="s">
        <v>65</v>
      </c>
      <c r="E37" s="3"/>
      <c r="F37">
        <v>26.267846877858801</v>
      </c>
      <c r="G37">
        <v>1.57413021201127E-4</v>
      </c>
      <c r="H37" s="2" t="s">
        <v>17</v>
      </c>
      <c r="I37" t="s">
        <v>40</v>
      </c>
      <c r="J37" t="s">
        <v>41</v>
      </c>
      <c r="K37" t="s">
        <v>25</v>
      </c>
      <c r="L37">
        <v>0</v>
      </c>
      <c r="M37" t="s">
        <v>19</v>
      </c>
      <c r="N37">
        <v>1</v>
      </c>
    </row>
    <row r="38" spans="1:14" x14ac:dyDescent="0.3">
      <c r="A38" t="s">
        <v>13</v>
      </c>
      <c r="B38" t="s">
        <v>14</v>
      </c>
      <c r="C38">
        <v>1</v>
      </c>
      <c r="D38" t="s">
        <v>66</v>
      </c>
      <c r="E38" s="3" t="s">
        <v>84</v>
      </c>
      <c r="F38">
        <v>5.21990767412544</v>
      </c>
      <c r="G38">
        <v>184.439829919396</v>
      </c>
      <c r="H38" s="2">
        <f t="shared" ref="H38" si="12">AVERAGE(G38:G39)</f>
        <v>184.30745788940999</v>
      </c>
      <c r="I38" t="s">
        <v>40</v>
      </c>
      <c r="J38" t="s">
        <v>41</v>
      </c>
      <c r="K38" t="s">
        <v>25</v>
      </c>
      <c r="L38">
        <v>0</v>
      </c>
      <c r="M38" t="s">
        <v>19</v>
      </c>
      <c r="N38">
        <v>1</v>
      </c>
    </row>
    <row r="39" spans="1:14" x14ac:dyDescent="0.3">
      <c r="A39" t="s">
        <v>13</v>
      </c>
      <c r="B39" t="s">
        <v>14</v>
      </c>
      <c r="C39">
        <v>1</v>
      </c>
      <c r="D39" t="s">
        <v>67</v>
      </c>
      <c r="E39" s="3"/>
      <c r="F39">
        <v>5.2220712565796301</v>
      </c>
      <c r="G39">
        <v>184.175085859424</v>
      </c>
      <c r="H39" s="2" t="s">
        <v>17</v>
      </c>
      <c r="I39" t="s">
        <v>40</v>
      </c>
      <c r="J39" t="s">
        <v>41</v>
      </c>
      <c r="K39" t="s">
        <v>25</v>
      </c>
      <c r="L39">
        <v>0</v>
      </c>
      <c r="M39" t="s">
        <v>19</v>
      </c>
      <c r="N39">
        <v>1</v>
      </c>
    </row>
    <row r="40" spans="1:14" x14ac:dyDescent="0.3">
      <c r="A40" t="s">
        <v>13</v>
      </c>
      <c r="B40" t="s">
        <v>14</v>
      </c>
      <c r="C40">
        <v>1</v>
      </c>
      <c r="D40" t="s">
        <v>68</v>
      </c>
      <c r="E40" s="3" t="s">
        <v>85</v>
      </c>
      <c r="F40">
        <v>8.0869348661975202</v>
      </c>
      <c r="G40">
        <v>27.491368029499998</v>
      </c>
      <c r="H40" s="2">
        <f t="shared" ref="H40" si="13">AVERAGE(G40:G41)</f>
        <v>26.296889817103697</v>
      </c>
      <c r="I40" t="s">
        <v>40</v>
      </c>
      <c r="J40" t="s">
        <v>41</v>
      </c>
      <c r="K40" t="s">
        <v>25</v>
      </c>
      <c r="L40">
        <v>0</v>
      </c>
      <c r="M40" t="s">
        <v>19</v>
      </c>
      <c r="N40">
        <v>1</v>
      </c>
    </row>
    <row r="41" spans="1:14" x14ac:dyDescent="0.3">
      <c r="A41" t="s">
        <v>13</v>
      </c>
      <c r="B41" t="s">
        <v>14</v>
      </c>
      <c r="C41">
        <v>1</v>
      </c>
      <c r="D41" t="s">
        <v>69</v>
      </c>
      <c r="E41" s="3"/>
      <c r="F41">
        <v>8.2238630515021605</v>
      </c>
      <c r="G41">
        <v>25.102411604707399</v>
      </c>
      <c r="H41" s="2" t="s">
        <v>17</v>
      </c>
      <c r="I41" t="s">
        <v>40</v>
      </c>
      <c r="J41" t="s">
        <v>41</v>
      </c>
      <c r="K41" t="s">
        <v>25</v>
      </c>
      <c r="L41">
        <v>0</v>
      </c>
      <c r="M41" t="s">
        <v>19</v>
      </c>
      <c r="N41">
        <v>1</v>
      </c>
    </row>
    <row r="42" spans="1:14" x14ac:dyDescent="0.3">
      <c r="A42" t="s">
        <v>13</v>
      </c>
      <c r="B42" t="s">
        <v>14</v>
      </c>
      <c r="C42">
        <v>1</v>
      </c>
      <c r="D42" t="s">
        <v>70</v>
      </c>
      <c r="E42" s="3" t="s">
        <v>86</v>
      </c>
      <c r="F42">
        <v>11.3325519621133</v>
      </c>
      <c r="G42">
        <v>3.1869705692572299</v>
      </c>
      <c r="H42" s="2">
        <f t="shared" ref="H42" si="14">AVERAGE(G42:G43)</f>
        <v>2.8228030181205197</v>
      </c>
      <c r="I42" t="s">
        <v>17</v>
      </c>
      <c r="J42" t="s">
        <v>17</v>
      </c>
      <c r="K42" t="s">
        <v>25</v>
      </c>
      <c r="L42">
        <v>0</v>
      </c>
      <c r="M42" t="s">
        <v>19</v>
      </c>
      <c r="N42">
        <v>0</v>
      </c>
    </row>
    <row r="43" spans="1:14" x14ac:dyDescent="0.3">
      <c r="A43" t="s">
        <v>13</v>
      </c>
      <c r="B43" t="s">
        <v>14</v>
      </c>
      <c r="C43">
        <v>1</v>
      </c>
      <c r="D43" t="s">
        <v>71</v>
      </c>
      <c r="E43" s="3"/>
      <c r="F43">
        <v>11.7233637546925</v>
      </c>
      <c r="G43">
        <v>2.45863546698381</v>
      </c>
      <c r="H43" s="2" t="s">
        <v>17</v>
      </c>
      <c r="I43" t="s">
        <v>17</v>
      </c>
      <c r="J43" t="s">
        <v>17</v>
      </c>
      <c r="K43" t="s">
        <v>25</v>
      </c>
      <c r="L43">
        <v>0</v>
      </c>
      <c r="M43" t="s">
        <v>19</v>
      </c>
      <c r="N43">
        <v>0</v>
      </c>
    </row>
  </sheetData>
  <mergeCells count="15">
    <mergeCell ref="E26:E27"/>
    <mergeCell ref="E18:E19"/>
    <mergeCell ref="E14:E15"/>
    <mergeCell ref="E16:E17"/>
    <mergeCell ref="E42:E43"/>
    <mergeCell ref="E20:E21"/>
    <mergeCell ref="E22:E23"/>
    <mergeCell ref="E24:E25"/>
    <mergeCell ref="E28:E29"/>
    <mergeCell ref="E30:E31"/>
    <mergeCell ref="E32:E33"/>
    <mergeCell ref="E34:E35"/>
    <mergeCell ref="E36:E37"/>
    <mergeCell ref="E38:E39"/>
    <mergeCell ref="E40:E41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HKE-3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혜정</dc:creator>
  <cp:lastModifiedBy>user</cp:lastModifiedBy>
  <dcterms:created xsi:type="dcterms:W3CDTF">2021-10-22T08:18:12Z</dcterms:created>
  <dcterms:modified xsi:type="dcterms:W3CDTF">2021-10-25T05:27:38Z</dcterms:modified>
</cp:coreProperties>
</file>